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/>
  <mc:AlternateContent xmlns:mc="http://schemas.openxmlformats.org/markup-compatibility/2006">
    <mc:Choice Requires="x15">
      <x15ac:absPath xmlns:x15ac="http://schemas.microsoft.com/office/spreadsheetml/2010/11/ac" url="C:\Users\ELIAS.SOUZA\Documents\"/>
    </mc:Choice>
  </mc:AlternateContent>
  <xr:revisionPtr revIDLastSave="0" documentId="8_{DF5D3442-61BB-4D39-B6C2-A59BA0AA3B03}" xr6:coauthVersionLast="47" xr6:coauthVersionMax="47" xr10:uidLastSave="{00000000-0000-0000-0000-000000000000}"/>
  <bookViews>
    <workbookView xWindow="19090" yWindow="-110" windowWidth="19420" windowHeight="10300" xr2:uid="{EADA8762-E47F-4F3C-A2BD-D0C44CF0A352}"/>
  </bookViews>
  <sheets>
    <sheet name="DUMMY COM" sheetId="1" r:id="rId1"/>
  </sheets>
  <definedNames>
    <definedName name="_xlnm._FilterDatabase" localSheetId="0" hidden="1">'DUMMY COM'!$BQ$5:$BR$5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" i="1" l="1"/>
  <c r="AW7" i="1"/>
  <c r="AW8" i="1"/>
  <c r="AW9" i="1"/>
  <c r="K2" i="1"/>
  <c r="N9" i="1"/>
  <c r="N8" i="1"/>
  <c r="O8" i="1" s="1"/>
  <c r="N7" i="1"/>
  <c r="O7" i="1" s="1"/>
  <c r="N6" i="1"/>
  <c r="R9" i="1"/>
  <c r="R7" i="1"/>
  <c r="R8" i="1"/>
  <c r="R6" i="1"/>
  <c r="A6" i="1"/>
  <c r="A7" i="1" s="1"/>
  <c r="A8" i="1" s="1"/>
  <c r="A9" i="1" s="1"/>
  <c r="O6" i="1" l="1"/>
  <c r="O9" i="1"/>
</calcChain>
</file>

<file path=xl/sharedStrings.xml><?xml version="1.0" encoding="utf-8"?>
<sst xmlns="http://schemas.openxmlformats.org/spreadsheetml/2006/main" count="204" uniqueCount="98">
  <si>
    <t>UPH/HC CHARGER Data</t>
  </si>
  <si>
    <t>UPH/HC BATTERY Data</t>
  </si>
  <si>
    <t>UPH/HC OTHERS Data</t>
  </si>
  <si>
    <t>Investment</t>
  </si>
  <si>
    <t>Sourcing Data</t>
  </si>
  <si>
    <t>Charger</t>
  </si>
  <si>
    <t>Transformer</t>
  </si>
  <si>
    <t>Battery</t>
  </si>
  <si>
    <t>Others - SEC1</t>
  </si>
  <si>
    <t>Others - SEC2</t>
  </si>
  <si>
    <t>Others - SEC3</t>
  </si>
  <si>
    <t>Others - SEC4</t>
  </si>
  <si>
    <t>Others - SEC5</t>
  </si>
  <si>
    <t>CAPEX (USD)</t>
  </si>
  <si>
    <t>Index</t>
  </si>
  <si>
    <t>Material Group</t>
  </si>
  <si>
    <t>Salcomp Code</t>
  </si>
  <si>
    <t>Date</t>
  </si>
  <si>
    <t>Revision Reason</t>
  </si>
  <si>
    <t>SQMS</t>
  </si>
  <si>
    <t>Family</t>
  </si>
  <si>
    <t>Customer</t>
  </si>
  <si>
    <t>Reference
Product</t>
  </si>
  <si>
    <t>Exchange Rate US$</t>
  </si>
  <si>
    <t>COM IMPORTED (US$)</t>
  </si>
  <si>
    <t>COM LOCAL 
(R$)</t>
  </si>
  <si>
    <t>IMPOST DUTY (US$)</t>
  </si>
  <si>
    <t>TOTAL (US$)</t>
  </si>
  <si>
    <t>TOTAL
(R$)</t>
  </si>
  <si>
    <t>HC
Charger</t>
  </si>
  <si>
    <t>UPH
Charger</t>
  </si>
  <si>
    <t>UPOH
Charger</t>
  </si>
  <si>
    <t>Line
Charger</t>
  </si>
  <si>
    <t>HC
Transformer</t>
  </si>
  <si>
    <t>UPH
Transformer</t>
  </si>
  <si>
    <t>UPOH
Transformer</t>
  </si>
  <si>
    <t>Line
Transformer</t>
  </si>
  <si>
    <t>HC
SEC1</t>
  </si>
  <si>
    <t>UPH
SEC1</t>
  </si>
  <si>
    <t>UPOH
SEC1</t>
  </si>
  <si>
    <t>Line
SEC1</t>
  </si>
  <si>
    <t>HC
SEC2</t>
  </si>
  <si>
    <t>UPH
SEC2</t>
  </si>
  <si>
    <t>UPOH
SEC2</t>
  </si>
  <si>
    <t>Line
SEC2</t>
  </si>
  <si>
    <t>HC
SEC4 (PAD PRINT)</t>
  </si>
  <si>
    <t>UPH
SEC4 (PAD PRINT)</t>
  </si>
  <si>
    <t>UPOH
SEC4 (PAD PRINT)</t>
  </si>
  <si>
    <t>Line
SEC4 (PAD PRINT)</t>
  </si>
  <si>
    <t>HC
SEC4 (FINAL ASSY)</t>
  </si>
  <si>
    <t>UPH
SEC4 (FINAL ASSY)</t>
  </si>
  <si>
    <t>UPOH
SEC4 (FINAL ASSY)</t>
  </si>
  <si>
    <t>Line
SEC4 (FINAL ASSY)</t>
  </si>
  <si>
    <t>HC
SEC4 (PACKING)</t>
  </si>
  <si>
    <t>UPH
SEC4 (PACKING)</t>
  </si>
  <si>
    <t>UPOH
SEC4 (PACKING)</t>
  </si>
  <si>
    <t>Line
SEC4 (PACKING)</t>
  </si>
  <si>
    <t>HC1</t>
  </si>
  <si>
    <t>UPH1</t>
  </si>
  <si>
    <t>UPOH1</t>
  </si>
  <si>
    <t>Line1</t>
  </si>
  <si>
    <t>HC2</t>
  </si>
  <si>
    <t>UPH2</t>
  </si>
  <si>
    <t>UPOH2</t>
  </si>
  <si>
    <t>Line2</t>
  </si>
  <si>
    <t>HC3</t>
  </si>
  <si>
    <t>UPH3</t>
  </si>
  <si>
    <t>UPOH3</t>
  </si>
  <si>
    <t>Line3</t>
  </si>
  <si>
    <t>HC4</t>
  </si>
  <si>
    <t>UPH4</t>
  </si>
  <si>
    <t>UPOH4</t>
  </si>
  <si>
    <t>Line4</t>
  </si>
  <si>
    <t>HC5</t>
  </si>
  <si>
    <t>UPH5</t>
  </si>
  <si>
    <t>UPOH5</t>
  </si>
  <si>
    <t>Line5</t>
  </si>
  <si>
    <t>New Line</t>
  </si>
  <si>
    <t>Type</t>
  </si>
  <si>
    <t>Sourcing</t>
  </si>
  <si>
    <t>Project Leader</t>
  </si>
  <si>
    <t>CPM</t>
  </si>
  <si>
    <t>Status</t>
  </si>
  <si>
    <t>Comments</t>
  </si>
  <si>
    <t>24W Type-C</t>
  </si>
  <si>
    <t>DUMMY COM 24W Type-C MOSO AIR - 20240822</t>
  </si>
  <si>
    <t>Inicial</t>
  </si>
  <si>
    <t>POSITIVO</t>
  </si>
  <si>
    <t>N/A</t>
  </si>
  <si>
    <t>DENDÊ</t>
  </si>
  <si>
    <t>-</t>
  </si>
  <si>
    <t>CE</t>
  </si>
  <si>
    <t>Raphael Santos</t>
  </si>
  <si>
    <t>Fabiana Casagrande</t>
  </si>
  <si>
    <t>UPH, HC e Investimentos dimensionados utilizando Pollux como referência.</t>
  </si>
  <si>
    <t>DUMMY COM 24W Type-C MOSO SEA - 20240822</t>
  </si>
  <si>
    <t>DUMMY COM 24W Type-C MOSO SEA/AIR - 20240822</t>
  </si>
  <si>
    <t>DUMMY COM 24W Type-C MOSO MIX - 20240822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</si>
</sst>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_-* #,##0_-;\-* #,##0_-;_-* &quot;-&quot;??_-;_-@_-"/>
    <numFmt numFmtId="167" formatCode="[$-409]d&quot;-&quot;mmm&quot;-&quot;yy;@"/>
    <numFmt numFmtId="168" formatCode="0.0000"/>
    <numFmt numFmtId="169" formatCode="_-[$$-409]* #,##0.00_ ;_-[$$-409]* \-#,##0.00\ ;_-[$$-409]* &quot;-&quot;??_ ;_-@_ "/>
    <numFmt numFmtId="170" formatCode="_ &quot;￥&quot;* #,##0.00_ ;_ &quot;￥&quot;* \-#,##0.00_ ;_ &quot;￥&quot;* &quot;-&quot;??_ ;_ @_ "/>
    <numFmt numFmtId="171" formatCode="_ * #,##0.00_ ;_ * \-#,##0.00_ ;_ * &quot;-&quot;??_ ;_ @_ "/>
  </numFmts>
  <fonts count="1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name val="新細明體"/>
      <family val="1"/>
      <charset val="136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170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" fillId="0" borderId="0"/>
    <xf numFmtId="164" fontId="7" fillId="0" borderId="0" applyFont="0" applyFill="0" applyBorder="0" applyAlignment="0" applyProtection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10" fillId="0" borderId="0"/>
    <xf numFmtId="0" fontId="4" fillId="0" borderId="0"/>
    <xf numFmtId="171" fontId="9" fillId="0" borderId="0" applyFont="0" applyFill="0" applyBorder="0" applyAlignment="0" applyProtection="0"/>
    <xf numFmtId="0" fontId="8" fillId="0" borderId="0"/>
  </cellStyleXfs>
  <cellXfs count="40">
    <xf numFmtId="0" fontId="0" fillId="0" borderId="0" xfId="0"/>
    <xf numFmtId="166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8" fontId="2" fillId="0" borderId="8" xfId="1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 wrapText="1"/>
    </xf>
    <xf numFmtId="166" fontId="1" fillId="2" borderId="10" xfId="0" applyNumberFormat="1" applyFont="1" applyFill="1" applyBorder="1" applyAlignment="1">
      <alignment horizontal="center" vertical="center" wrapText="1"/>
    </xf>
    <xf numFmtId="166" fontId="1" fillId="4" borderId="10" xfId="0" applyNumberFormat="1" applyFont="1" applyFill="1" applyBorder="1" applyAlignment="1">
      <alignment horizontal="center" vertical="center" wrapText="1"/>
    </xf>
    <xf numFmtId="167" fontId="1" fillId="3" borderId="10" xfId="0" applyNumberFormat="1" applyFont="1" applyFill="1" applyBorder="1" applyAlignment="1">
      <alignment horizontal="center" vertical="center" wrapText="1"/>
    </xf>
    <xf numFmtId="166" fontId="1" fillId="2" borderId="11" xfId="0" applyNumberFormat="1" applyFont="1" applyFill="1" applyBorder="1" applyAlignment="1">
      <alignment horizontal="center" vertical="center" wrapText="1"/>
    </xf>
    <xf numFmtId="166" fontId="1" fillId="2" borderId="6" xfId="0" applyNumberFormat="1" applyFont="1" applyFill="1" applyBorder="1" applyAlignment="1">
      <alignment horizontal="center" vertical="center" wrapText="1"/>
    </xf>
    <xf numFmtId="167" fontId="1" fillId="3" borderId="2" xfId="0" applyNumberFormat="1" applyFont="1" applyFill="1" applyBorder="1" applyAlignment="1">
      <alignment horizontal="center" vertical="center"/>
    </xf>
    <xf numFmtId="169" fontId="2" fillId="0" borderId="8" xfId="0" applyNumberFormat="1" applyFont="1" applyBorder="1" applyAlignment="1">
      <alignment horizontal="center" vertical="center"/>
    </xf>
    <xf numFmtId="167" fontId="1" fillId="4" borderId="10" xfId="0" applyNumberFormat="1" applyFont="1" applyFill="1" applyBorder="1" applyAlignment="1">
      <alignment horizontal="center" vertical="center" wrapText="1"/>
    </xf>
    <xf numFmtId="167" fontId="1" fillId="5" borderId="10" xfId="0" applyNumberFormat="1" applyFont="1" applyFill="1" applyBorder="1" applyAlignment="1">
      <alignment horizontal="center" vertical="center" wrapText="1"/>
    </xf>
    <xf numFmtId="0" fontId="5" fillId="0" borderId="0" xfId="0" applyFont="1"/>
    <xf numFmtId="9" fontId="0" fillId="0" borderId="0" xfId="2" applyFont="1"/>
    <xf numFmtId="0" fontId="2" fillId="0" borderId="8" xfId="0" applyFont="1" applyBorder="1" applyAlignment="1">
      <alignment horizontal="left" vertical="center"/>
    </xf>
    <xf numFmtId="0" fontId="0" fillId="0" borderId="0" xfId="0" applyAlignment="1">
      <alignment horizontal="left"/>
    </xf>
    <xf numFmtId="166" fontId="1" fillId="2" borderId="10" xfId="0" applyNumberFormat="1" applyFont="1" applyFill="1" applyBorder="1" applyAlignment="1">
      <alignment horizontal="left" vertical="center" wrapText="1"/>
    </xf>
    <xf numFmtId="167" fontId="1" fillId="4" borderId="3" xfId="0" applyNumberFormat="1" applyFont="1" applyFill="1" applyBorder="1" applyAlignment="1">
      <alignment horizontal="center" vertical="center"/>
    </xf>
    <xf numFmtId="167" fontId="1" fillId="4" borderId="4" xfId="0" applyNumberFormat="1" applyFont="1" applyFill="1" applyBorder="1" applyAlignment="1">
      <alignment horizontal="center" vertical="center"/>
    </xf>
    <xf numFmtId="167" fontId="1" fillId="4" borderId="5" xfId="0" applyNumberFormat="1" applyFont="1" applyFill="1" applyBorder="1" applyAlignment="1">
      <alignment horizontal="center" vertical="center"/>
    </xf>
    <xf numFmtId="167" fontId="1" fillId="5" borderId="3" xfId="0" applyNumberFormat="1" applyFont="1" applyFill="1" applyBorder="1" applyAlignment="1">
      <alignment horizontal="center" vertical="center"/>
    </xf>
    <xf numFmtId="167" fontId="1" fillId="5" borderId="4" xfId="0" applyNumberFormat="1" applyFont="1" applyFill="1" applyBorder="1" applyAlignment="1">
      <alignment horizontal="center" vertical="center"/>
    </xf>
    <xf numFmtId="167" fontId="1" fillId="5" borderId="5" xfId="0" applyNumberFormat="1" applyFont="1" applyFill="1" applyBorder="1" applyAlignment="1">
      <alignment horizontal="center" vertical="center"/>
    </xf>
    <xf numFmtId="167" fontId="1" fillId="5" borderId="2" xfId="0" applyNumberFormat="1" applyFont="1" applyFill="1" applyBorder="1" applyAlignment="1">
      <alignment horizontal="center" vertical="center"/>
    </xf>
    <xf numFmtId="166" fontId="1" fillId="4" borderId="2" xfId="0" applyNumberFormat="1" applyFont="1" applyFill="1" applyBorder="1" applyAlignment="1">
      <alignment horizontal="center" vertical="center" wrapText="1"/>
    </xf>
    <xf numFmtId="167" fontId="1" fillId="3" borderId="3" xfId="0" applyNumberFormat="1" applyFont="1" applyFill="1" applyBorder="1" applyAlignment="1">
      <alignment horizontal="center" vertical="center"/>
    </xf>
    <xf numFmtId="167" fontId="1" fillId="3" borderId="4" xfId="0" applyNumberFormat="1" applyFont="1" applyFill="1" applyBorder="1" applyAlignment="1">
      <alignment horizontal="center" vertical="center"/>
    </xf>
    <xf numFmtId="167" fontId="1" fillId="3" borderId="5" xfId="0" applyNumberFormat="1" applyFont="1" applyFill="1" applyBorder="1" applyAlignment="1">
      <alignment horizontal="center" vertical="center"/>
    </xf>
    <xf numFmtId="167" fontId="1" fillId="3" borderId="2" xfId="0" applyNumberFormat="1" applyFont="1" applyFill="1" applyBorder="1" applyAlignment="1">
      <alignment horizontal="center" vertical="center"/>
    </xf>
  </cellXfs>
  <cellStyles count="18">
    <cellStyle name="Comma" xfId="1" builtinId="3"/>
    <cellStyle name="Comma 2" xfId="13" xr:uid="{A87073A4-B93D-4638-B3C1-3DD9E55E3CA6}"/>
    <cellStyle name="Comma 2 2" xfId="16" xr:uid="{9988CF71-DC43-4175-B40B-20659D8D028E}"/>
    <cellStyle name="Currency 2" xfId="6" xr:uid="{574295F6-2DD4-4204-9AD6-8C6AB8309FFC}"/>
    <cellStyle name="Currency 3" xfId="7" xr:uid="{B14BAE7C-D1D1-4061-A9FF-628F2BE155F7}"/>
    <cellStyle name="Moeda 2" xfId="10" xr:uid="{60F07EED-2488-46A4-85A2-C4ED34DBCC21}"/>
    <cellStyle name="Normal" xfId="0" builtinId="0"/>
    <cellStyle name="Normal 2" xfId="9" xr:uid="{658A7669-41E7-4527-B1FB-8150EBCD12BB}"/>
    <cellStyle name="Normal 2 3" xfId="4" xr:uid="{8F5C414E-75BD-40C6-8078-47CFA21462C8}"/>
    <cellStyle name="Normal 2 5" xfId="17" xr:uid="{574821C3-F854-4BD9-98E6-9409CAF5ADFC}"/>
    <cellStyle name="Normal 3" xfId="11" xr:uid="{78521745-2E5E-420F-BAB1-37811B2914D7}"/>
    <cellStyle name="Normal 4" xfId="3" xr:uid="{128EA3C7-1EAA-4146-A514-AF04F5CE7F71}"/>
    <cellStyle name="Normal 4 3 2" xfId="14" xr:uid="{AEB9B817-5860-4BBB-A81B-F147814A8CBC}"/>
    <cellStyle name="Normal 5" xfId="15" xr:uid="{F824D066-11B1-459C-A68D-FA28ABEEE325}"/>
    <cellStyle name="Normal 8" xfId="5" xr:uid="{D0D463AF-33D7-49AE-ADA9-34346388F396}"/>
    <cellStyle name="Percent" xfId="2" builtinId="5"/>
    <cellStyle name="Percent 2" xfId="8" xr:uid="{408A3AAC-A6DF-4A3C-8986-C3DAFDD310EF}"/>
    <cellStyle name="一般_2004 機種別銷售預測-030904" xfId="12" xr:uid="{2EFC950D-936E-4ED4-BA57-CD59F7A609F1}"/>
  </cellStyles>
  <dxfs count="73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8" formatCode="0.00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8" formatCode="0.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8" formatCode="0.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72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4BE040-310E-498A-84CB-3EE6B8D8AA12}" name="Table1" displayName="Table1" ref="A5:BR9" totalsRowShown="0" headerRowDxfId="67" tableBorderDxfId="66">
  <autoFilter ref="A5:BR9" xr:uid="{774BE040-310E-498A-84CB-3EE6B8D8AA12}"/>
  <tableColumns count="70">
    <tableColumn id="1" xr3:uid="{AF107F94-3E33-4B36-AED6-DA8CB699CDC6}" name="Index" dataDxfId="65">
      <calculatedColumnFormula>A5+1</calculatedColumnFormula>
    </tableColumn>
    <tableColumn id="2" xr3:uid="{32EE7ACE-3EB4-4845-8FC4-5FB480AB9934}" name="Material Group" dataDxfId="64"/>
    <tableColumn id="3" xr3:uid="{99BAB7B2-EB4D-4975-A2B3-E9DFB4CBEC44}" name="Salcomp Code" dataDxfId="63"/>
    <tableColumn id="4" xr3:uid="{3492B70A-DB5A-45CB-9C1D-6F8163D5BB3D}" name="Date" dataDxfId="62"/>
    <tableColumn id="5" xr3:uid="{92BA93EF-391B-499D-B2E9-2929DFB98894}" name="Revision Reason" dataDxfId="61"/>
    <tableColumn id="6" xr3:uid="{8C5BFE80-2198-4618-AD34-AE641ECD714C}" name="SQMS" dataDxfId="60"/>
    <tableColumn id="7" xr3:uid="{155419C8-0091-467B-A559-8C3D29F7B546}" name="Family" dataDxfId="59"/>
    <tableColumn id="8" xr3:uid="{8454D300-06B9-483C-AF8A-F1CE60D86EB2}" name="Customer" dataDxfId="58"/>
    <tableColumn id="9" xr3:uid="{FFF9B3E2-844B-4E41-BDC5-193F48D0D3D3}" name="Reference_x000a_Product" dataDxfId="57"/>
    <tableColumn id="10" xr3:uid="{56720663-1467-4E5D-8F93-6681ECA9F933}" name="Exchange Rate US$" dataDxfId="56"/>
    <tableColumn id="11" xr3:uid="{4F66D459-8BD0-4CF5-9BC0-795D7A3FBBFC}" name="COM IMPORTED (US$)" dataDxfId="55"/>
    <tableColumn id="12" xr3:uid="{C65941EA-C866-4ECB-8DC7-6A3ED0A559D9}" name="COM LOCAL _x000a_(R$)" dataDxfId="54"/>
    <tableColumn id="13" xr3:uid="{F1B0E64A-3ED9-457C-B9F3-B113D4B669CD}" name="IMPOST DUTY (US$)" dataDxfId="53"/>
    <tableColumn id="14" xr3:uid="{58BCE5B9-B597-419A-BD5A-1B23A3EFD406}" name="TOTAL (US$)" dataDxfId="52">
      <calculatedColumnFormula>Table1[[#This Row],[COM IMPORTED (US$)]]+Table1[[#This Row],[IMPOST DUTY (US$)]]+Table1[[#This Row],[COM LOCAL 
(R$)]]/Table1[[#This Row],[Exchange Rate US$]]</calculatedColumnFormula>
    </tableColumn>
    <tableColumn id="15" xr3:uid="{3ECDF38A-0539-4475-A656-F91808F7912C}" name="TOTAL_x000a_(R$)" dataDxfId="51">
      <calculatedColumnFormula>Table1[[#This Row],[TOTAL (US$)]]*Table1[[#This Row],[Exchange Rate US$]]</calculatedColumnFormula>
    </tableColumn>
    <tableColumn id="16" xr3:uid="{B1585CC9-9590-4D2B-859B-C5E699D1C2DC}" name="HC_x000a_Charger" dataDxfId="50"/>
    <tableColumn id="17" xr3:uid="{30264BA8-927B-4A1A-B3C9-70B7DDA128B7}" name="UPH_x000a_Charger" dataDxfId="49"/>
    <tableColumn id="18" xr3:uid="{CED449AA-DA65-424E-8175-5F8E09CF75B6}" name="UPOH_x000a_Charger" dataDxfId="48"/>
    <tableColumn id="19" xr3:uid="{267C8F37-CD4F-4FB5-9211-7F4D7665B4BA}" name="Line_x000a_Charger" dataDxfId="47"/>
    <tableColumn id="20" xr3:uid="{30E94EF5-742B-43FD-AC61-910A873C44CF}" name="HC_x000a_Transformer" dataDxfId="46"/>
    <tableColumn id="21" xr3:uid="{5CDE6C15-757C-474A-B571-56F31F306E4A}" name="UPH_x000a_Transformer" dataDxfId="45"/>
    <tableColumn id="22" xr3:uid="{227BF711-8A26-4F63-A21A-76C8EB797A4C}" name="UPOH_x000a_Transformer" dataDxfId="44">
      <calculatedColumnFormula>Table1[[#This Row],[UPH
Transformer]]/Table1[[#This Row],[HC
Transformer]]</calculatedColumnFormula>
    </tableColumn>
    <tableColumn id="23" xr3:uid="{BD2C776D-23F9-4F09-9CC5-918417208F64}" name="Line_x000a_Transformer" dataDxfId="43"/>
    <tableColumn id="24" xr3:uid="{472194CC-61EC-4A8B-B19A-DD3241175F3E}" name="HC_x000a_SEC1" dataDxfId="42"/>
    <tableColumn id="25" xr3:uid="{415EC1CB-1556-48AA-BF1A-B26B8115D6A1}" name="UPH_x000a_SEC1" dataDxfId="41"/>
    <tableColumn id="26" xr3:uid="{68041D74-2BB3-49CC-AC43-FEA3C4B1A179}" name="UPOH_x000a_SEC1" dataDxfId="40"/>
    <tableColumn id="27" xr3:uid="{5CED8107-EE6D-4E68-A925-2A9F928EEF32}" name="Line_x000a_SEC1" dataDxfId="39"/>
    <tableColumn id="28" xr3:uid="{91F2027B-90CB-4B1D-8864-31025016804A}" name="HC_x000a_SEC2" dataDxfId="38"/>
    <tableColumn id="29" xr3:uid="{DF0B3B2A-9B86-49DD-964C-93E1CCCB4C11}" name="UPH_x000a_SEC2" dataDxfId="37"/>
    <tableColumn id="30" xr3:uid="{0E47B557-2882-4BAA-8B57-57E3E181BEBE}" name="UPOH_x000a_SEC2" dataDxfId="36"/>
    <tableColumn id="31" xr3:uid="{41476694-803F-4B86-B87D-0936BBBEF951}" name="Line_x000a_SEC2" dataDxfId="35"/>
    <tableColumn id="32" xr3:uid="{8074FB75-A6C2-4EBF-AEAA-2264B1640767}" name="HC_x000a_SEC4 (PAD PRINT)" dataDxfId="34"/>
    <tableColumn id="33" xr3:uid="{676D66C6-24E3-4744-8263-3C6EF5155DF0}" name="UPH_x000a_SEC4 (PAD PRINT)" dataDxfId="33"/>
    <tableColumn id="34" xr3:uid="{84C2844F-B9AB-4D9E-9C0E-7F3782BF264B}" name="UPOH_x000a_SEC4 (PAD PRINT)" dataDxfId="32"/>
    <tableColumn id="35" xr3:uid="{50B89B94-C32C-4202-8BB1-AF8E8403F409}" name="Line_x000a_SEC4 (PAD PRINT)" dataDxfId="31"/>
    <tableColumn id="36" xr3:uid="{3E7FE7ED-3096-4C69-8115-DE6569C6AB65}" name="HC_x000a_SEC4 (FINAL ASSY)" dataDxfId="30"/>
    <tableColumn id="37" xr3:uid="{5C5AC353-D490-40B3-AA09-68CB9B4C65AB}" name="UPH_x000a_SEC4 (FINAL ASSY)" dataDxfId="29"/>
    <tableColumn id="38" xr3:uid="{521A6632-8B98-4060-9F9B-3FAE29A12956}" name="UPOH_x000a_SEC4 (FINAL ASSY)" dataDxfId="28"/>
    <tableColumn id="39" xr3:uid="{72A935FA-1F86-484F-9CBD-2B23D964A504}" name="Line_x000a_SEC4 (FINAL ASSY)" dataDxfId="27"/>
    <tableColumn id="40" xr3:uid="{E679113C-49E2-4536-B549-C5EB85D1360F}" name="HC_x000a_SEC4 (PACKING)" dataDxfId="26"/>
    <tableColumn id="41" xr3:uid="{2CCF8320-A91E-4B8D-B41D-A0056074B344}" name="UPH_x000a_SEC4 (PACKING)" dataDxfId="25"/>
    <tableColumn id="42" xr3:uid="{BF7BBF7C-86A9-40DC-B689-3226CB910939}" name="UPOH_x000a_SEC4 (PACKING)" dataDxfId="24"/>
    <tableColumn id="43" xr3:uid="{B1153083-E60D-4092-B456-45F81889F3AC}" name="Line_x000a_SEC4 (PACKING)" dataDxfId="23"/>
    <tableColumn id="57" xr3:uid="{D3F8EF87-B965-4B04-BD60-EB58F3C3440D}" name="HC1" dataDxfId="22"/>
    <tableColumn id="55" xr3:uid="{9F5A46EE-2699-4A7E-A304-3E8156AE078C}" name="UPH1" dataDxfId="21"/>
    <tableColumn id="54" xr3:uid="{A3BE09C8-CA23-435F-BFFF-0D71DD56C775}" name="UPOH1" dataDxfId="20">
      <calculatedColumnFormula>AS6/AR6</calculatedColumnFormula>
    </tableColumn>
    <tableColumn id="53" xr3:uid="{C68D1F76-BCB9-4FA9-9F15-F2B17C05C5E2}" name="Line1" dataDxfId="19"/>
    <tableColumn id="62" xr3:uid="{F3D421DD-ABCF-44A3-9928-7AD702F2E3E8}" name="HC2" dataDxfId="18"/>
    <tableColumn id="61" xr3:uid="{DDEA7A19-2FE7-4CD3-A493-7E057611A1DF}" name="UPH2" dataDxfId="17">
      <calculatedColumnFormula>Table1[[#This Row],[UPH
Charger]]/Table1[[#This Row],[HC
Charger]]</calculatedColumnFormula>
    </tableColumn>
    <tableColumn id="60" xr3:uid="{8FA71A28-B0D8-4AAF-B8F2-B37AB51F21F0}" name="UPOH2" dataDxfId="16">
      <calculatedColumnFormula>AW6/AV6</calculatedColumnFormula>
    </tableColumn>
    <tableColumn id="59" xr3:uid="{65EE09F7-1DAE-427F-B23C-6F183D2A1B44}" name="Line2" dataDxfId="15"/>
    <tableColumn id="58" xr3:uid="{9D48A37C-0A58-40EF-83F8-96B31F4CE7FB}" name="HC3" dataDxfId="14"/>
    <tableColumn id="67" xr3:uid="{81B21DDB-94BF-4A52-AC05-E03A8A037CCF}" name="UPH3" dataDxfId="13"/>
    <tableColumn id="66" xr3:uid="{48ADC854-4D83-4ADB-B4FD-B462BFEAE833}" name="UPOH3" dataDxfId="12">
      <calculatedColumnFormula>BA6/AZ6</calculatedColumnFormula>
    </tableColumn>
    <tableColumn id="65" xr3:uid="{1DDF66CE-C610-4214-8BA4-BCC924F32DC3}" name="Line3" dataDxfId="11"/>
    <tableColumn id="64" xr3:uid="{33F8CEF5-2901-4946-ABF7-823EDAE59370}" name="HC4" dataDxfId="10"/>
    <tableColumn id="63" xr3:uid="{049595B1-3722-48DD-9BD7-56111E5DECBA}" name="UPH4" dataDxfId="9"/>
    <tableColumn id="52" xr3:uid="{15A03487-3959-4AE3-B2BF-BFF7599FB2A6}" name="UPOH4" dataDxfId="8">
      <calculatedColumnFormula>BE6/BD6</calculatedColumnFormula>
    </tableColumn>
    <tableColumn id="51" xr3:uid="{A272C161-710B-403F-8E86-14733093BA65}" name="Line4" dataDxfId="7"/>
    <tableColumn id="70" xr3:uid="{AD0C0300-A574-4B99-8318-F25511BBDB4F}" name="HC5" dataDxfId="6"/>
    <tableColumn id="69" xr3:uid="{6F924A31-52C4-4913-AAEA-6390ABA32A3E}" name="UPH5" dataDxfId="5"/>
    <tableColumn id="68" xr3:uid="{3BCEBF35-40DA-4997-AECD-6A288B1A655B}" name="UPOH5" dataDxfId="4">
      <calculatedColumnFormula>BI6/BH6</calculatedColumnFormula>
    </tableColumn>
    <tableColumn id="50" xr3:uid="{8065F7FD-BA33-4034-A357-EA209D85E455}" name="Line5" dataDxfId="3"/>
    <tableColumn id="56" xr3:uid="{FBDFAF91-C52C-4CDD-A67C-C2BB89439786}" name="New Line" dataDxfId="2"/>
    <tableColumn id="44" xr3:uid="{39FB460B-BA81-45B8-804E-A56AD84AC853}" name="Type"/>
    <tableColumn id="45" xr3:uid="{CD9D0C8D-AAC1-4250-B5E4-A9151C7D401A}" name="Sourcing"/>
    <tableColumn id="46" xr3:uid="{0675E5EA-7450-4C8E-90DB-3EA264A3E243}" name="Project Leader"/>
    <tableColumn id="47" xr3:uid="{51D4116A-8FBB-498C-9428-2526AFE91EB0}" name="CPM"/>
    <tableColumn id="48" xr3:uid="{4917B250-FAF8-4DBB-9D86-2F76773DAA98}" name="Status" dataDxfId="1"/>
    <tableColumn id="49" xr3:uid="{55B812AC-5FFF-4045-8B6C-47AAA33C4E87}" name="Commen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9DE8-5515-47C2-83E7-F00125049187}">
  <dimension ref="A2:BR9"/>
  <sheetViews>
    <sheetView showGridLines="0" tabSelected="1" zoomScale="80" zoomScaleNormal="80" workbookViewId="0">
      <pane xSplit="3" ySplit="5" topLeftCell="I6" activePane="bottomRight" state="frozen"/>
      <selection pane="bottomRight" activeCell="O9" sqref="O9:O12"/>
      <selection pane="bottomLeft" activeCell="A6" sqref="A6"/>
      <selection pane="topRight" activeCell="D1" sqref="D1"/>
    </sheetView>
  </sheetViews>
  <sheetFormatPr defaultRowHeight="15" outlineLevelCol="2"/>
  <cols>
    <col min="1" max="1" width="8.28515625" style="11" customWidth="1"/>
    <col min="2" max="2" width="24.140625" customWidth="1"/>
    <col min="3" max="3" width="72.7109375" style="26" customWidth="1"/>
    <col min="4" max="4" width="16.140625" bestFit="1" customWidth="1"/>
    <col min="5" max="5" width="50.42578125" bestFit="1" customWidth="1"/>
    <col min="6" max="6" width="9.28515625" customWidth="1"/>
    <col min="7" max="7" width="10.28515625" customWidth="1"/>
    <col min="8" max="8" width="12.28515625" customWidth="1"/>
    <col min="9" max="9" width="14.42578125" bestFit="1" customWidth="1"/>
    <col min="10" max="10" width="8.7109375" customWidth="1"/>
    <col min="11" max="11" width="14.7109375" bestFit="1" customWidth="1"/>
    <col min="12" max="12" width="13.28515625" bestFit="1" customWidth="1"/>
    <col min="13" max="13" width="8.7109375" customWidth="1"/>
    <col min="14" max="15" width="12.7109375" bestFit="1" customWidth="1"/>
    <col min="16" max="16" width="10.28515625" customWidth="1" outlineLevel="2"/>
    <col min="17" max="17" width="8.7109375" customWidth="1" outlineLevel="2"/>
    <col min="18" max="18" width="9.7109375" customWidth="1" outlineLevel="2"/>
    <col min="19" max="19" width="12.7109375" customWidth="1"/>
    <col min="20" max="20" width="11" hidden="1" customWidth="1" outlineLevel="1" collapsed="1"/>
    <col min="21" max="21" width="11.28515625" hidden="1" customWidth="1" outlineLevel="1"/>
    <col min="22" max="22" width="11.42578125" hidden="1" customWidth="1" outlineLevel="1"/>
    <col min="23" max="23" width="11.7109375" customWidth="1" collapsed="1"/>
    <col min="24" max="25" width="9.7109375" hidden="1" customWidth="1" outlineLevel="1"/>
    <col min="26" max="26" width="10.28515625" hidden="1" customWidth="1" outlineLevel="1"/>
    <col min="27" max="27" width="9.7109375" customWidth="1" collapsed="1"/>
    <col min="28" max="29" width="9.7109375" hidden="1" customWidth="1" outlineLevel="1"/>
    <col min="30" max="30" width="10.28515625" hidden="1" customWidth="1" outlineLevel="1"/>
    <col min="31" max="31" width="9.7109375" customWidth="1" collapsed="1"/>
    <col min="32" max="32" width="16" hidden="1" customWidth="1" outlineLevel="1"/>
    <col min="33" max="34" width="15.7109375" hidden="1" customWidth="1" outlineLevel="1"/>
    <col min="35" max="35" width="15.7109375" customWidth="1" collapsed="1"/>
    <col min="36" max="36" width="18.7109375" hidden="1" customWidth="1" outlineLevel="1"/>
    <col min="37" max="37" width="18.28515625" hidden="1" customWidth="1" outlineLevel="1"/>
    <col min="38" max="38" width="17.7109375" hidden="1" customWidth="1" outlineLevel="1"/>
    <col min="39" max="39" width="17.7109375" customWidth="1" collapsed="1"/>
    <col min="40" max="40" width="17.28515625" hidden="1" customWidth="1" outlineLevel="1"/>
    <col min="41" max="41" width="17.7109375" hidden="1" customWidth="1" outlineLevel="1"/>
    <col min="42" max="42" width="16.28515625" hidden="1" customWidth="1" outlineLevel="1"/>
    <col min="43" max="43" width="17.7109375" customWidth="1" collapsed="1"/>
    <col min="44" max="46" width="11" hidden="1" customWidth="1" outlineLevel="1"/>
    <col min="47" max="47" width="12.42578125" customWidth="1" collapsed="1"/>
    <col min="48" max="48" width="18.7109375" hidden="1" customWidth="1" outlineLevel="1"/>
    <col min="49" max="50" width="11" hidden="1" customWidth="1" outlineLevel="1"/>
    <col min="51" max="51" width="12.7109375" customWidth="1" collapsed="1"/>
    <col min="52" max="54" width="11" hidden="1" customWidth="1" outlineLevel="1"/>
    <col min="55" max="55" width="12.28515625" customWidth="1" collapsed="1"/>
    <col min="56" max="58" width="11" hidden="1" customWidth="1" outlineLevel="1"/>
    <col min="59" max="59" width="13" customWidth="1" collapsed="1"/>
    <col min="60" max="62" width="11" hidden="1" customWidth="1" outlineLevel="1"/>
    <col min="63" max="63" width="12.28515625" customWidth="1" collapsed="1"/>
    <col min="64" max="64" width="24.7109375" bestFit="1" customWidth="1"/>
    <col min="65" max="66" width="14.7109375" customWidth="1"/>
    <col min="67" max="67" width="18.7109375" customWidth="1"/>
    <col min="68" max="69" width="20.7109375" customWidth="1"/>
    <col min="70" max="70" width="117.28515625" bestFit="1" customWidth="1"/>
  </cols>
  <sheetData>
    <row r="2" spans="1:70">
      <c r="E2" s="23"/>
      <c r="K2" s="24" t="e">
        <f>#REF!/3.29-1</f>
        <v>#REF!</v>
      </c>
    </row>
    <row r="3" spans="1:70">
      <c r="P3" s="36" t="s">
        <v>0</v>
      </c>
      <c r="Q3" s="37"/>
      <c r="R3" s="37"/>
      <c r="S3" s="37"/>
      <c r="T3" s="37"/>
      <c r="U3" s="37"/>
      <c r="V3" s="37"/>
      <c r="W3" s="38"/>
      <c r="X3" s="34" t="s">
        <v>1</v>
      </c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28" t="s">
        <v>2</v>
      </c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30"/>
      <c r="BL3" s="19" t="s">
        <v>3</v>
      </c>
    </row>
    <row r="4" spans="1:70" ht="14.65" customHeight="1">
      <c r="J4" s="35" t="s">
        <v>4</v>
      </c>
      <c r="K4" s="35"/>
      <c r="L4" s="35"/>
      <c r="M4" s="35"/>
      <c r="N4" s="35"/>
      <c r="O4" s="35"/>
      <c r="P4" s="39" t="s">
        <v>5</v>
      </c>
      <c r="Q4" s="39"/>
      <c r="R4" s="39"/>
      <c r="S4" s="39"/>
      <c r="T4" s="36" t="s">
        <v>6</v>
      </c>
      <c r="U4" s="37"/>
      <c r="V4" s="37"/>
      <c r="W4" s="38"/>
      <c r="X4" s="31" t="s">
        <v>7</v>
      </c>
      <c r="Y4" s="32"/>
      <c r="Z4" s="32"/>
      <c r="AA4" s="33"/>
      <c r="AB4" s="31" t="s">
        <v>7</v>
      </c>
      <c r="AC4" s="32"/>
      <c r="AD4" s="32"/>
      <c r="AE4" s="33"/>
      <c r="AF4" s="31" t="s">
        <v>7</v>
      </c>
      <c r="AG4" s="32"/>
      <c r="AH4" s="32"/>
      <c r="AI4" s="33"/>
      <c r="AJ4" s="31" t="s">
        <v>7</v>
      </c>
      <c r="AK4" s="32"/>
      <c r="AL4" s="32"/>
      <c r="AM4" s="33"/>
      <c r="AN4" s="31" t="s">
        <v>7</v>
      </c>
      <c r="AO4" s="32"/>
      <c r="AP4" s="32"/>
      <c r="AQ4" s="33"/>
      <c r="AR4" s="28" t="s">
        <v>8</v>
      </c>
      <c r="AS4" s="29"/>
      <c r="AT4" s="29"/>
      <c r="AU4" s="30"/>
      <c r="AV4" s="28" t="s">
        <v>9</v>
      </c>
      <c r="AW4" s="29"/>
      <c r="AX4" s="29"/>
      <c r="AY4" s="30"/>
      <c r="AZ4" s="28" t="s">
        <v>10</v>
      </c>
      <c r="BA4" s="29"/>
      <c r="BB4" s="29"/>
      <c r="BC4" s="30"/>
      <c r="BD4" s="28" t="s">
        <v>11</v>
      </c>
      <c r="BE4" s="29"/>
      <c r="BF4" s="29"/>
      <c r="BG4" s="30"/>
      <c r="BH4" s="28" t="s">
        <v>12</v>
      </c>
      <c r="BI4" s="29"/>
      <c r="BJ4" s="29"/>
      <c r="BK4" s="30"/>
      <c r="BL4" s="19" t="s">
        <v>13</v>
      </c>
    </row>
    <row r="5" spans="1:70" ht="59.25" customHeight="1">
      <c r="A5" s="13" t="s">
        <v>14</v>
      </c>
      <c r="B5" s="14" t="s">
        <v>15</v>
      </c>
      <c r="C5" s="27" t="s">
        <v>16</v>
      </c>
      <c r="D5" s="14" t="s">
        <v>17</v>
      </c>
      <c r="E5" s="14" t="s">
        <v>18</v>
      </c>
      <c r="F5" s="14" t="s">
        <v>19</v>
      </c>
      <c r="G5" s="14" t="s">
        <v>20</v>
      </c>
      <c r="H5" s="14" t="s">
        <v>21</v>
      </c>
      <c r="I5" s="14" t="s">
        <v>22</v>
      </c>
      <c r="J5" s="15" t="s">
        <v>23</v>
      </c>
      <c r="K5" s="15" t="s">
        <v>24</v>
      </c>
      <c r="L5" s="15" t="s">
        <v>25</v>
      </c>
      <c r="M5" s="15" t="s">
        <v>26</v>
      </c>
      <c r="N5" s="15" t="s">
        <v>27</v>
      </c>
      <c r="O5" s="15" t="s">
        <v>28</v>
      </c>
      <c r="P5" s="16" t="s">
        <v>29</v>
      </c>
      <c r="Q5" s="16" t="s">
        <v>30</v>
      </c>
      <c r="R5" s="16" t="s">
        <v>31</v>
      </c>
      <c r="S5" s="16" t="s">
        <v>32</v>
      </c>
      <c r="T5" s="16" t="s">
        <v>33</v>
      </c>
      <c r="U5" s="16" t="s">
        <v>34</v>
      </c>
      <c r="V5" s="16" t="s">
        <v>35</v>
      </c>
      <c r="W5" s="16" t="s">
        <v>36</v>
      </c>
      <c r="X5" s="22" t="s">
        <v>37</v>
      </c>
      <c r="Y5" s="22" t="s">
        <v>38</v>
      </c>
      <c r="Z5" s="22" t="s">
        <v>39</v>
      </c>
      <c r="AA5" s="22" t="s">
        <v>40</v>
      </c>
      <c r="AB5" s="22" t="s">
        <v>41</v>
      </c>
      <c r="AC5" s="22" t="s">
        <v>42</v>
      </c>
      <c r="AD5" s="22" t="s">
        <v>43</v>
      </c>
      <c r="AE5" s="22" t="s">
        <v>44</v>
      </c>
      <c r="AF5" s="22" t="s">
        <v>45</v>
      </c>
      <c r="AG5" s="22" t="s">
        <v>46</v>
      </c>
      <c r="AH5" s="22" t="s">
        <v>47</v>
      </c>
      <c r="AI5" s="22" t="s">
        <v>48</v>
      </c>
      <c r="AJ5" s="22" t="s">
        <v>49</v>
      </c>
      <c r="AK5" s="22" t="s">
        <v>50</v>
      </c>
      <c r="AL5" s="22" t="s">
        <v>51</v>
      </c>
      <c r="AM5" s="22" t="s">
        <v>52</v>
      </c>
      <c r="AN5" s="22" t="s">
        <v>53</v>
      </c>
      <c r="AO5" s="22" t="s">
        <v>54</v>
      </c>
      <c r="AP5" s="22" t="s">
        <v>55</v>
      </c>
      <c r="AQ5" s="22" t="s">
        <v>56</v>
      </c>
      <c r="AR5" s="21" t="s">
        <v>57</v>
      </c>
      <c r="AS5" s="21" t="s">
        <v>58</v>
      </c>
      <c r="AT5" s="21" t="s">
        <v>59</v>
      </c>
      <c r="AU5" s="21" t="s">
        <v>60</v>
      </c>
      <c r="AV5" s="21" t="s">
        <v>61</v>
      </c>
      <c r="AW5" s="21" t="s">
        <v>62</v>
      </c>
      <c r="AX5" s="21" t="s">
        <v>63</v>
      </c>
      <c r="AY5" s="21" t="s">
        <v>64</v>
      </c>
      <c r="AZ5" s="21" t="s">
        <v>65</v>
      </c>
      <c r="BA5" s="21" t="s">
        <v>66</v>
      </c>
      <c r="BB5" s="21" t="s">
        <v>67</v>
      </c>
      <c r="BC5" s="21" t="s">
        <v>68</v>
      </c>
      <c r="BD5" s="21" t="s">
        <v>69</v>
      </c>
      <c r="BE5" s="21" t="s">
        <v>70</v>
      </c>
      <c r="BF5" s="21" t="s">
        <v>71</v>
      </c>
      <c r="BG5" s="21" t="s">
        <v>72</v>
      </c>
      <c r="BH5" s="21" t="s">
        <v>73</v>
      </c>
      <c r="BI5" s="21" t="s">
        <v>74</v>
      </c>
      <c r="BJ5" s="21" t="s">
        <v>75</v>
      </c>
      <c r="BK5" s="21" t="s">
        <v>76</v>
      </c>
      <c r="BL5" s="16" t="s">
        <v>77</v>
      </c>
      <c r="BM5" s="14" t="s">
        <v>78</v>
      </c>
      <c r="BN5" s="14" t="s">
        <v>79</v>
      </c>
      <c r="BO5" s="14" t="s">
        <v>80</v>
      </c>
      <c r="BP5" s="17" t="s">
        <v>81</v>
      </c>
      <c r="BQ5" s="1" t="s">
        <v>82</v>
      </c>
      <c r="BR5" s="18" t="s">
        <v>83</v>
      </c>
    </row>
    <row r="6" spans="1:70">
      <c r="A6" s="12" t="e">
        <f>#REF!+1</f>
        <v>#REF!</v>
      </c>
      <c r="B6" s="3" t="s">
        <v>84</v>
      </c>
      <c r="C6" s="25" t="s">
        <v>85</v>
      </c>
      <c r="D6" s="4">
        <v>45531</v>
      </c>
      <c r="E6" s="3" t="s">
        <v>86</v>
      </c>
      <c r="F6" s="3">
        <v>88479</v>
      </c>
      <c r="G6" s="3" t="s">
        <v>5</v>
      </c>
      <c r="H6" s="3" t="s">
        <v>87</v>
      </c>
      <c r="I6" s="3" t="s">
        <v>88</v>
      </c>
      <c r="J6" s="3">
        <v>5.5526</v>
      </c>
      <c r="K6" s="9">
        <v>4.0199878399999998</v>
      </c>
      <c r="L6" s="10">
        <v>0.95908548354400014</v>
      </c>
      <c r="M6" s="10">
        <v>0.23135937600000003</v>
      </c>
      <c r="N6" s="10">
        <f>Table1[[#This Row],[COM IMPORTED (US$)]]+Table1[[#This Row],[IMPOST DUTY (US$)]]+Table1[[#This Row],[COM LOCAL 
(R$)]]/Table1[[#This Row],[Exchange Rate US$]]</f>
        <v>4.4240744939497896</v>
      </c>
      <c r="O6" s="10">
        <f>Table1[[#This Row],[TOTAL (US$)]]*Table1[[#This Row],[Exchange Rate US$]]</f>
        <v>24.5651160351056</v>
      </c>
      <c r="P6" s="3">
        <v>39</v>
      </c>
      <c r="Q6" s="3">
        <v>500</v>
      </c>
      <c r="R6" s="5">
        <f>Table1[[#This Row],[UPH
Charger]]/Table1[[#This Row],[HC
Charger]]</f>
        <v>12.820512820512821</v>
      </c>
      <c r="S6" s="5" t="s">
        <v>89</v>
      </c>
      <c r="T6" s="6"/>
      <c r="U6" s="6"/>
      <c r="V6" s="5"/>
      <c r="W6" s="5" t="s">
        <v>88</v>
      </c>
      <c r="X6" s="5"/>
      <c r="Y6" s="5"/>
      <c r="Z6" s="5"/>
      <c r="AA6" s="5" t="s">
        <v>88</v>
      </c>
      <c r="AB6" s="5" t="s">
        <v>88</v>
      </c>
      <c r="AC6" s="5" t="s">
        <v>88</v>
      </c>
      <c r="AD6" s="5" t="s">
        <v>88</v>
      </c>
      <c r="AE6" s="5" t="s">
        <v>88</v>
      </c>
      <c r="AF6" s="5" t="s">
        <v>90</v>
      </c>
      <c r="AG6" s="5" t="s">
        <v>90</v>
      </c>
      <c r="AH6" s="5" t="s">
        <v>90</v>
      </c>
      <c r="AI6" s="5" t="s">
        <v>88</v>
      </c>
      <c r="AJ6" s="5" t="s">
        <v>88</v>
      </c>
      <c r="AK6" s="5" t="s">
        <v>88</v>
      </c>
      <c r="AL6" s="5" t="s">
        <v>88</v>
      </c>
      <c r="AM6" s="5" t="s">
        <v>88</v>
      </c>
      <c r="AN6" s="5" t="s">
        <v>88</v>
      </c>
      <c r="AO6" s="5" t="s">
        <v>88</v>
      </c>
      <c r="AP6" s="5" t="s">
        <v>88</v>
      </c>
      <c r="AQ6" s="5" t="s">
        <v>88</v>
      </c>
      <c r="AR6" s="5"/>
      <c r="AS6" s="5"/>
      <c r="AT6" s="5"/>
      <c r="AU6" s="5"/>
      <c r="AV6" s="5"/>
      <c r="AW6" s="5">
        <f>Table1[[#This Row],[UPH
Charger]]/Table1[[#This Row],[HC
Charger]]</f>
        <v>12.820512820512821</v>
      </c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20">
        <v>50000</v>
      </c>
      <c r="BM6" s="3" t="s">
        <v>91</v>
      </c>
      <c r="BN6" s="3"/>
      <c r="BO6" s="3" t="s">
        <v>92</v>
      </c>
      <c r="BP6" s="7" t="s">
        <v>93</v>
      </c>
      <c r="BQ6" s="2"/>
      <c r="BR6" s="8" t="s">
        <v>94</v>
      </c>
    </row>
    <row r="7" spans="1:70" ht="12.95" customHeight="1">
      <c r="A7" s="12" t="e">
        <f t="shared" ref="A7:A9" si="0">A6+1</f>
        <v>#REF!</v>
      </c>
      <c r="B7" s="3" t="s">
        <v>84</v>
      </c>
      <c r="C7" s="25" t="s">
        <v>95</v>
      </c>
      <c r="D7" s="4">
        <v>45531</v>
      </c>
      <c r="E7" s="3" t="s">
        <v>86</v>
      </c>
      <c r="F7" s="3">
        <v>88479</v>
      </c>
      <c r="G7" s="3" t="s">
        <v>5</v>
      </c>
      <c r="H7" s="3" t="s">
        <v>87</v>
      </c>
      <c r="I7" s="3" t="s">
        <v>88</v>
      </c>
      <c r="J7" s="3">
        <v>5.5526</v>
      </c>
      <c r="K7" s="9">
        <v>3.4551961599999994</v>
      </c>
      <c r="L7" s="10">
        <v>0.95908548354400014</v>
      </c>
      <c r="M7" s="10">
        <v>0.23135937600000003</v>
      </c>
      <c r="N7" s="10">
        <f>Table1[[#This Row],[COM IMPORTED (US$)]]+Table1[[#This Row],[IMPOST DUTY (US$)]]+Table1[[#This Row],[COM LOCAL 
(R$)]]/Table1[[#This Row],[Exchange Rate US$]]</f>
        <v>3.8592828139497888</v>
      </c>
      <c r="O7" s="10">
        <f>Table1[[#This Row],[TOTAL (US$)]]*Table1[[#This Row],[Exchange Rate US$]]</f>
        <v>21.429053752737598</v>
      </c>
      <c r="P7" s="3">
        <v>39</v>
      </c>
      <c r="Q7" s="3">
        <v>500</v>
      </c>
      <c r="R7" s="5">
        <f>Table1[[#This Row],[UPH
Charger]]/Table1[[#This Row],[HC
Charger]]</f>
        <v>12.820512820512821</v>
      </c>
      <c r="S7" s="5" t="s">
        <v>89</v>
      </c>
      <c r="T7" s="6"/>
      <c r="U7" s="6"/>
      <c r="V7" s="5"/>
      <c r="W7" s="5" t="s">
        <v>88</v>
      </c>
      <c r="X7" s="5"/>
      <c r="Y7" s="5"/>
      <c r="Z7" s="5"/>
      <c r="AA7" s="5" t="s">
        <v>88</v>
      </c>
      <c r="AB7" s="5" t="s">
        <v>88</v>
      </c>
      <c r="AC7" s="5" t="s">
        <v>88</v>
      </c>
      <c r="AD7" s="5" t="s">
        <v>88</v>
      </c>
      <c r="AE7" s="5" t="s">
        <v>88</v>
      </c>
      <c r="AF7" s="5" t="s">
        <v>90</v>
      </c>
      <c r="AG7" s="5" t="s">
        <v>90</v>
      </c>
      <c r="AH7" s="5" t="s">
        <v>90</v>
      </c>
      <c r="AI7" s="5" t="s">
        <v>88</v>
      </c>
      <c r="AJ7" s="5" t="s">
        <v>88</v>
      </c>
      <c r="AK7" s="5" t="s">
        <v>88</v>
      </c>
      <c r="AL7" s="5" t="s">
        <v>88</v>
      </c>
      <c r="AM7" s="5" t="s">
        <v>88</v>
      </c>
      <c r="AN7" s="5" t="s">
        <v>88</v>
      </c>
      <c r="AO7" s="5" t="s">
        <v>88</v>
      </c>
      <c r="AP7" s="5" t="s">
        <v>88</v>
      </c>
      <c r="AQ7" s="5" t="s">
        <v>88</v>
      </c>
      <c r="AR7" s="5"/>
      <c r="AS7" s="5"/>
      <c r="AT7" s="5"/>
      <c r="AU7" s="5"/>
      <c r="AV7" s="5"/>
      <c r="AW7" s="5">
        <f>Table1[[#This Row],[UPH
Charger]]/Table1[[#This Row],[HC
Charger]]</f>
        <v>12.820512820512821</v>
      </c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20">
        <v>50000</v>
      </c>
      <c r="BM7" s="3" t="s">
        <v>91</v>
      </c>
      <c r="BN7" s="3"/>
      <c r="BO7" s="3" t="s">
        <v>92</v>
      </c>
      <c r="BP7" s="7" t="s">
        <v>93</v>
      </c>
      <c r="BQ7" s="2"/>
      <c r="BR7" s="8" t="s">
        <v>94</v>
      </c>
    </row>
    <row r="8" spans="1:70">
      <c r="A8" s="12" t="e">
        <f t="shared" si="0"/>
        <v>#REF!</v>
      </c>
      <c r="B8" s="3" t="s">
        <v>84</v>
      </c>
      <c r="C8" s="25" t="s">
        <v>96</v>
      </c>
      <c r="D8" s="4">
        <v>45531</v>
      </c>
      <c r="E8" s="3" t="s">
        <v>86</v>
      </c>
      <c r="F8" s="3">
        <v>88479</v>
      </c>
      <c r="G8" s="3" t="s">
        <v>5</v>
      </c>
      <c r="H8" s="3" t="s">
        <v>87</v>
      </c>
      <c r="I8" s="3" t="s">
        <v>88</v>
      </c>
      <c r="J8" s="3">
        <v>5.5526</v>
      </c>
      <c r="K8" s="9">
        <v>3.6877574399999995</v>
      </c>
      <c r="L8" s="10">
        <v>0.95908548354400014</v>
      </c>
      <c r="M8" s="10">
        <v>0.23135937600000003</v>
      </c>
      <c r="N8" s="10">
        <f>Table1[[#This Row],[COM IMPORTED (US$)]]+Table1[[#This Row],[IMPOST DUTY (US$)]]+Table1[[#This Row],[COM LOCAL 
(R$)]]/Table1[[#This Row],[Exchange Rate US$]]</f>
        <v>4.0918440939497884</v>
      </c>
      <c r="O8" s="10">
        <f>Table1[[#This Row],[TOTAL (US$)]]*Table1[[#This Row],[Exchange Rate US$]]</f>
        <v>22.720373516065596</v>
      </c>
      <c r="P8" s="3">
        <v>39</v>
      </c>
      <c r="Q8" s="3">
        <v>500</v>
      </c>
      <c r="R8" s="5">
        <f>Table1[[#This Row],[UPH
Charger]]/Table1[[#This Row],[HC
Charger]]</f>
        <v>12.820512820512821</v>
      </c>
      <c r="S8" s="5" t="s">
        <v>89</v>
      </c>
      <c r="T8" s="6"/>
      <c r="U8" s="6"/>
      <c r="V8" s="5"/>
      <c r="W8" s="5" t="s">
        <v>88</v>
      </c>
      <c r="X8" s="5"/>
      <c r="Y8" s="5"/>
      <c r="Z8" s="5"/>
      <c r="AA8" s="5" t="s">
        <v>88</v>
      </c>
      <c r="AB8" s="5" t="s">
        <v>88</v>
      </c>
      <c r="AC8" s="5" t="s">
        <v>88</v>
      </c>
      <c r="AD8" s="5" t="s">
        <v>88</v>
      </c>
      <c r="AE8" s="5" t="s">
        <v>88</v>
      </c>
      <c r="AF8" s="5" t="s">
        <v>90</v>
      </c>
      <c r="AG8" s="5" t="s">
        <v>90</v>
      </c>
      <c r="AH8" s="5" t="s">
        <v>90</v>
      </c>
      <c r="AI8" s="5" t="s">
        <v>88</v>
      </c>
      <c r="AJ8" s="5" t="s">
        <v>88</v>
      </c>
      <c r="AK8" s="5" t="s">
        <v>88</v>
      </c>
      <c r="AL8" s="5" t="s">
        <v>88</v>
      </c>
      <c r="AM8" s="5" t="s">
        <v>88</v>
      </c>
      <c r="AN8" s="5" t="s">
        <v>88</v>
      </c>
      <c r="AO8" s="5" t="s">
        <v>88</v>
      </c>
      <c r="AP8" s="5" t="s">
        <v>88</v>
      </c>
      <c r="AQ8" s="5" t="s">
        <v>88</v>
      </c>
      <c r="AR8" s="5"/>
      <c r="AS8" s="5"/>
      <c r="AT8" s="5"/>
      <c r="AU8" s="5"/>
      <c r="AV8" s="5"/>
      <c r="AW8" s="5">
        <f>Table1[[#This Row],[UPH
Charger]]/Table1[[#This Row],[HC
Charger]]</f>
        <v>12.820512820512821</v>
      </c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20">
        <v>50000</v>
      </c>
      <c r="BM8" s="3" t="s">
        <v>91</v>
      </c>
      <c r="BN8" s="3"/>
      <c r="BO8" s="3" t="s">
        <v>92</v>
      </c>
      <c r="BP8" s="7" t="s">
        <v>93</v>
      </c>
      <c r="BQ8" s="2"/>
      <c r="BR8" s="8" t="s">
        <v>94</v>
      </c>
    </row>
    <row r="9" spans="1:70">
      <c r="A9" s="12" t="e">
        <f t="shared" si="0"/>
        <v>#REF!</v>
      </c>
      <c r="B9" s="3" t="s">
        <v>84</v>
      </c>
      <c r="C9" s="25" t="s">
        <v>97</v>
      </c>
      <c r="D9" s="4">
        <v>45531</v>
      </c>
      <c r="E9" s="3" t="s">
        <v>86</v>
      </c>
      <c r="F9" s="3">
        <v>88479</v>
      </c>
      <c r="G9" s="3" t="s">
        <v>5</v>
      </c>
      <c r="H9" s="3" t="s">
        <v>87</v>
      </c>
      <c r="I9" s="3" t="s">
        <v>88</v>
      </c>
      <c r="J9" s="3">
        <v>5.5526</v>
      </c>
      <c r="K9" s="9">
        <v>3.8621674399999995</v>
      </c>
      <c r="L9" s="10">
        <v>0.95908548354400014</v>
      </c>
      <c r="M9" s="10">
        <v>0.23135937600000003</v>
      </c>
      <c r="N9" s="10">
        <f>Table1[[#This Row],[COM IMPORTED (US$)]]+Table1[[#This Row],[IMPOST DUTY (US$)]]+Table1[[#This Row],[COM LOCAL 
(R$)]]/Table1[[#This Row],[Exchange Rate US$]]</f>
        <v>4.2662540939497893</v>
      </c>
      <c r="O9" s="10">
        <f>Table1[[#This Row],[TOTAL (US$)]]*Table1[[#This Row],[Exchange Rate US$]]</f>
        <v>23.688802482065601</v>
      </c>
      <c r="P9" s="3">
        <v>39</v>
      </c>
      <c r="Q9" s="3">
        <v>500</v>
      </c>
      <c r="R9" s="5">
        <f>Table1[[#This Row],[UPH
Charger]]/Table1[[#This Row],[HC
Charger]]</f>
        <v>12.820512820512821</v>
      </c>
      <c r="S9" s="5" t="s">
        <v>89</v>
      </c>
      <c r="T9" s="6"/>
      <c r="U9" s="6"/>
      <c r="V9" s="5"/>
      <c r="W9" s="5" t="s">
        <v>88</v>
      </c>
      <c r="X9" s="5"/>
      <c r="Y9" s="5"/>
      <c r="Z9" s="5"/>
      <c r="AA9" s="5" t="s">
        <v>88</v>
      </c>
      <c r="AB9" s="5" t="s">
        <v>88</v>
      </c>
      <c r="AC9" s="5" t="s">
        <v>88</v>
      </c>
      <c r="AD9" s="5" t="s">
        <v>88</v>
      </c>
      <c r="AE9" s="5" t="s">
        <v>88</v>
      </c>
      <c r="AF9" s="5" t="s">
        <v>90</v>
      </c>
      <c r="AG9" s="5" t="s">
        <v>90</v>
      </c>
      <c r="AH9" s="5" t="s">
        <v>90</v>
      </c>
      <c r="AI9" s="5" t="s">
        <v>88</v>
      </c>
      <c r="AJ9" s="5" t="s">
        <v>88</v>
      </c>
      <c r="AK9" s="5" t="s">
        <v>88</v>
      </c>
      <c r="AL9" s="5" t="s">
        <v>88</v>
      </c>
      <c r="AM9" s="5" t="s">
        <v>88</v>
      </c>
      <c r="AN9" s="5" t="s">
        <v>88</v>
      </c>
      <c r="AO9" s="5" t="s">
        <v>88</v>
      </c>
      <c r="AP9" s="5" t="s">
        <v>88</v>
      </c>
      <c r="AQ9" s="5" t="s">
        <v>88</v>
      </c>
      <c r="AR9" s="5"/>
      <c r="AS9" s="5"/>
      <c r="AT9" s="5"/>
      <c r="AU9" s="5"/>
      <c r="AV9" s="5"/>
      <c r="AW9" s="5">
        <f>Table1[[#This Row],[UPH
Charger]]/Table1[[#This Row],[HC
Charger]]</f>
        <v>12.820512820512821</v>
      </c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20">
        <v>50000</v>
      </c>
      <c r="BM9" s="3" t="s">
        <v>91</v>
      </c>
      <c r="BN9" s="3"/>
      <c r="BO9" s="3" t="s">
        <v>92</v>
      </c>
      <c r="BP9" s="7" t="s">
        <v>93</v>
      </c>
      <c r="BQ9" s="2"/>
      <c r="BR9" s="8" t="s">
        <v>94</v>
      </c>
    </row>
  </sheetData>
  <mergeCells count="16">
    <mergeCell ref="AF4:AI4"/>
    <mergeCell ref="AJ4:AM4"/>
    <mergeCell ref="AN4:AQ4"/>
    <mergeCell ref="X3:AQ3"/>
    <mergeCell ref="J4:O4"/>
    <mergeCell ref="P3:W3"/>
    <mergeCell ref="P4:S4"/>
    <mergeCell ref="T4:W4"/>
    <mergeCell ref="X4:AA4"/>
    <mergeCell ref="AB4:AE4"/>
    <mergeCell ref="BH4:BK4"/>
    <mergeCell ref="AR3:BK3"/>
    <mergeCell ref="AR4:AU4"/>
    <mergeCell ref="AV4:AY4"/>
    <mergeCell ref="AZ4:BC4"/>
    <mergeCell ref="BD4:BG4"/>
  </mergeCells>
  <phoneticPr fontId="3" type="noConversion"/>
  <conditionalFormatting sqref="BM6:BQ9">
    <cfRule type="containsText" dxfId="72" priority="6" operator="containsText" text="Under Quotation">
      <formula>NOT(ISERROR(SEARCH("Under Quotation",BM6)))</formula>
    </cfRule>
    <cfRule type="containsText" dxfId="71" priority="7" operator="containsText" text="Canceled">
      <formula>NOT(ISERROR(SEARCH("Canceled",BM6)))</formula>
    </cfRule>
    <cfRule type="containsText" dxfId="70" priority="8" operator="containsText" text="On Hold">
      <formula>NOT(ISERROR(SEARCH("On Hold",BM6)))</formula>
    </cfRule>
    <cfRule type="containsText" dxfId="69" priority="9" operator="containsText" text="Closed">
      <formula>NOT(ISERROR(SEARCH("Closed",BM6)))</formula>
    </cfRule>
    <cfRule type="containsText" dxfId="68" priority="10" operator="containsText" text="Opened">
      <formula>NOT(ISERROR(SEARCH("Opened",BM6)))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FD5649AF763C47A23B8B98C706E978" ma:contentTypeVersion="1572" ma:contentTypeDescription="Create a new document." ma:contentTypeScope="" ma:versionID="9c65bf129f8639e5b1a017b8aaa23a28">
  <xsd:schema xmlns:xsd="http://www.w3.org/2001/XMLSchema" xmlns:xs="http://www.w3.org/2001/XMLSchema" xmlns:p="http://schemas.microsoft.com/office/2006/metadata/properties" xmlns:ns2="e21ec3f8-bde9-46de-bf4a-1c3b8423bf30" xmlns:ns3="1f6845ec-5cd5-49c7-90ad-428914918428" xmlns:ns4="feec0264-56aa-4506-aca1-ff5f74ff0f61" targetNamespace="http://schemas.microsoft.com/office/2006/metadata/properties" ma:root="true" ma:fieldsID="9c90869fa36186ace51b0ecebf087e22" ns2:_="" ns3:_="" ns4:_="">
    <xsd:import namespace="e21ec3f8-bde9-46de-bf4a-1c3b8423bf30"/>
    <xsd:import namespace="1f6845ec-5cd5-49c7-90ad-428914918428"/>
    <xsd:import namespace="feec0264-56aa-4506-aca1-ff5f74ff0f6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Date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1ec3f8-bde9-46de-bf4a-1c3b8423bf3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TaxCatchAll" ma:index="11" nillable="true" ma:displayName="Taxonomy Catch All Column" ma:hidden="true" ma:list="{79e2d296-eea6-4afa-bf4a-41aad5b1d924}" ma:internalName="TaxCatchAll" ma:showField="CatchAllData" ma:web="e21ec3f8-bde9-46de-bf4a-1c3b8423bf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845ec-5cd5-49c7-90ad-428914918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Date" ma:index="18" nillable="true" ma:displayName="Date" ma:format="DateTime" ma:internalName="Date">
      <xsd:simpleType>
        <xsd:restriction base="dms:DateTim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1ec7db1e-714b-4eb9-82ca-1b8ac4992a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c0264-56aa-4506-aca1-ff5f74ff0f61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6845ec-5cd5-49c7-90ad-428914918428">
      <Terms xmlns="http://schemas.microsoft.com/office/infopath/2007/PartnerControls"/>
    </lcf76f155ced4ddcb4097134ff3c332f>
    <TaxCatchAll xmlns="e21ec3f8-bde9-46de-bf4a-1c3b8423bf30" xsi:nil="true"/>
    <_dlc_DocIdPersistId xmlns="e21ec3f8-bde9-46de-bf4a-1c3b8423bf30" xsi:nil="true"/>
    <Date xmlns="1f6845ec-5cd5-49c7-90ad-428914918428" xsi:nil="true"/>
    <_dlc_DocId xmlns="e21ec3f8-bde9-46de-bf4a-1c3b8423bf30">BOPDMS-1362261073-39916</_dlc_DocId>
    <_dlc_DocIdUrl xmlns="e21ec3f8-bde9-46de-bf4a-1c3b8423bf30">
      <Url>https://salcompmanufacturing.sharepoint.com/sites/brazil-operations/engineering/product/_layouts/15/DocIdRedir.aspx?ID=BOPDMS-1362261073-39916</Url>
      <Description>BOPDMS-1362261073-39916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1B93AB-3F9D-4B4E-8602-AFB68174D874}"/>
</file>

<file path=customXml/itemProps2.xml><?xml version="1.0" encoding="utf-8"?>
<ds:datastoreItem xmlns:ds="http://schemas.openxmlformats.org/officeDocument/2006/customXml" ds:itemID="{AFFC495D-1D6F-48E8-AC83-BE2D52ADF89C}"/>
</file>

<file path=customXml/itemProps3.xml><?xml version="1.0" encoding="utf-8"?>
<ds:datastoreItem xmlns:ds="http://schemas.openxmlformats.org/officeDocument/2006/customXml" ds:itemID="{21E91C64-E79A-454B-9BBB-5143EBB1FA15}"/>
</file>

<file path=customXml/itemProps4.xml><?xml version="1.0" encoding="utf-8"?>
<ds:datastoreItem xmlns:ds="http://schemas.openxmlformats.org/officeDocument/2006/customXml" ds:itemID="{5F12B6A0-0341-46EB-A87E-F0F97C5153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Souza Elias (Salcomp/Manaus)</dc:creator>
  <cp:keywords/>
  <dc:description/>
  <cp:lastModifiedBy/>
  <cp:revision/>
  <dcterms:created xsi:type="dcterms:W3CDTF">2024-06-25T11:49:28Z</dcterms:created>
  <dcterms:modified xsi:type="dcterms:W3CDTF">2025-01-09T13:52:12Z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0x01010009FD5649AF763C47A23B8B98C706E978</vt:lpwstr>
  </property>
  <property fmtid="{D5CDD505-2E9C-101B-9397-08002B2CF9AE}" pid="3" name="_dlc_DocIdItemGuid">
    <vt:lpwstr>45a7f9be-510e-454e-bdfa-f5d46666580b</vt:lpwstr>
  </property>
  <property fmtid="{D5CDD505-2E9C-101B-9397-08002B2CF9AE}" pid="4" name="l4e3bb8c1b6f41a59bf454edef77869b">
    <vt:lpwstr/>
  </property>
  <property fmtid="{D5CDD505-2E9C-101B-9397-08002B2CF9AE}" pid="5" name="TaxKeyword">
    <vt:lpwstr/>
  </property>
  <property fmtid="{D5CDD505-2E9C-101B-9397-08002B2CF9AE}" pid="6" name="MediaServiceImageTags">
    <vt:lpwstr/>
  </property>
  <property fmtid="{D5CDD505-2E9C-101B-9397-08002B2CF9AE}" pid="7" name="k1ed1c8b032a433d8ab81148a08eb2e7">
    <vt:lpwstr/>
  </property>
  <property fmtid="{D5CDD505-2E9C-101B-9397-08002B2CF9AE}" pid="8" name="SalcompCustomer">
    <vt:lpwstr/>
  </property>
  <property fmtid="{D5CDD505-2E9C-101B-9397-08002B2CF9AE}" pid="9" name="TaxKeywordTaxHTField">
    <vt:lpwstr/>
  </property>
  <property fmtid="{D5CDD505-2E9C-101B-9397-08002B2CF9AE}" pid="10" name="m0a221ea443247129bbe57debc56e3d3">
    <vt:lpwstr/>
  </property>
  <property fmtid="{D5CDD505-2E9C-101B-9397-08002B2CF9AE}" pid="11" name="SalcompProductFamily">
    <vt:lpwstr/>
  </property>
  <property fmtid="{D5CDD505-2E9C-101B-9397-08002B2CF9AE}" pid="12" name="SalcompAppliesTo">
    <vt:lpwstr/>
  </property>
  <property fmtid="{D5CDD505-2E9C-101B-9397-08002B2CF9AE}" pid="13" name="SalcompFunction">
    <vt:lpwstr/>
  </property>
  <property fmtid="{D5CDD505-2E9C-101B-9397-08002B2CF9AE}" pid="14" name="m0a221ea443247129bbe57debc56e3af">
    <vt:lpwstr/>
  </property>
</Properties>
</file>